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y.james.TVI\Downloads\"/>
    </mc:Choice>
  </mc:AlternateContent>
  <xr:revisionPtr revIDLastSave="0" documentId="13_ncr:1_{698ACF0B-385D-4C59-970D-90D79205C1F0}" xr6:coauthVersionLast="47" xr6:coauthVersionMax="47" xr10:uidLastSave="{00000000-0000-0000-0000-000000000000}"/>
  <bookViews>
    <workbookView xWindow="1470" yWindow="1470" windowWidth="25290" windowHeight="13830" xr2:uid="{84C42952-5FA7-4B7D-9BCC-33BCBAD268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6" i="1" l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<sst xmlns="http://schemas.openxmlformats.org/spreadsheetml/2006/main" count="87" uniqueCount="43">
  <si>
    <t>Truelife</t>
  </si>
  <si>
    <t>MF7003</t>
  </si>
  <si>
    <t>MF5090</t>
  </si>
  <si>
    <t>MF5020</t>
  </si>
  <si>
    <t>MF5357</t>
  </si>
  <si>
    <t>Ivory</t>
  </si>
  <si>
    <t>MF4456</t>
  </si>
  <si>
    <t>Majestic</t>
  </si>
  <si>
    <t>MF1901</t>
  </si>
  <si>
    <t>Lauretta</t>
  </si>
  <si>
    <t>MF4706</t>
  </si>
  <si>
    <t>Emirates</t>
  </si>
  <si>
    <t>MF232</t>
  </si>
  <si>
    <t>Scandcare</t>
  </si>
  <si>
    <t>MF456</t>
  </si>
  <si>
    <t>Nazek</t>
  </si>
  <si>
    <t>MF5009</t>
  </si>
  <si>
    <t>WLDY</t>
  </si>
  <si>
    <t>MF5339</t>
  </si>
  <si>
    <t>Facility</t>
  </si>
  <si>
    <t>Facility ID</t>
  </si>
  <si>
    <t>Khabisi</t>
  </si>
  <si>
    <t>Al Yahar</t>
  </si>
  <si>
    <t>Extramall</t>
  </si>
  <si>
    <t>Service Type</t>
  </si>
  <si>
    <t>Consultation</t>
  </si>
  <si>
    <t>Exact List</t>
  </si>
  <si>
    <t>Laboratory</t>
  </si>
  <si>
    <t>Starts With</t>
  </si>
  <si>
    <t>Medical Services</t>
  </si>
  <si>
    <t>Physiotherapy</t>
  </si>
  <si>
    <t>Radiology</t>
  </si>
  <si>
    <t>99202, 99203, 99212, 99213</t>
  </si>
  <si>
    <t>Code Match Value</t>
  </si>
  <si>
    <t>Code Match Type</t>
  </si>
  <si>
    <t>Thiqa (D001)</t>
  </si>
  <si>
    <t>Low-End (A001)</t>
  </si>
  <si>
    <t>Basic (D004)</t>
  </si>
  <si>
    <t>NGI (A025)</t>
  </si>
  <si>
    <t>Saico (A024)</t>
  </si>
  <si>
    <t>Nextcare (C002)</t>
  </si>
  <si>
    <t>Mednet (C004)</t>
  </si>
  <si>
    <t>1, 2, 3, 4, 5, 6, 91, 92, 93, 94,95, 96, 98, 99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</si>
</sst>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49" fontId="0" fillId="0" borderId="0" xfId="0" applyNumberFormat="1" applyAlignment="1">
      <alignment vertical="center" wrapText="1"/>
    </xf>
    <xf numFmtId="0" fontId="0" fillId="0" borderId="0" xfId="0" applyFill="1"/>
  </cellXfs>
  <cellStyles count="1">
    <cellStyle name="Normal" xfId="0" builtinId="0"/>
  </cellStyles>
  <dxfs count="13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30" formatCode="@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102CAF-108C-49C0-831D-14A16F4AF7D9}" name="Facilities" displayName="Facilities" ref="P1:Q12" totalsRowShown="0">
  <autoFilter ref="P1:Q12" xr:uid="{35102CAF-108C-49C0-831D-14A16F4AF7D9}"/>
  <tableColumns count="2">
    <tableColumn id="1" xr3:uid="{580029FB-F09A-4B7A-99BB-32E325978F88}" name="Facility"/>
    <tableColumn id="2" xr3:uid="{59ABE4CA-9FA8-4F6F-B6A2-F7B91707888C}" name="Facility ID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E560D1-0B12-4C9E-80CF-60BBBD5F00C1}" name="Factors" displayName="Factors" ref="A1:L16" totalsRowShown="0" dataDxfId="12">
  <autoFilter ref="A1:L16" xr:uid="{04E560D1-0B12-4C9E-80CF-60BBBD5F00C1}"/>
  <sortState xmlns:xlrd2="http://schemas.microsoft.com/office/spreadsheetml/2017/richdata2" ref="A2:F16">
    <sortCondition descending="1" ref="A1:A16"/>
  </sortState>
  <tableColumns count="12">
    <tableColumn id="6" xr3:uid="{BF236755-ADFA-4882-9C7B-15DC7A047F38}" name="Facility" dataDxfId="11"/>
    <tableColumn id="7" xr3:uid="{BFEC8BE0-A880-4D72-AC82-969A553AD509}" name="Facility ID" dataDxfId="10">
      <calculatedColumnFormula>IFERROR(
INDEX(
Facilities[Facility ID],
MATCH(Factors[[#This Row],[Facility]],
Facilities[Facility],0
)
),"")</calculatedColumnFormula>
    </tableColumn>
    <tableColumn id="1" xr3:uid="{15D4A995-F997-4C14-88B6-EF7E1A03A69F}" name="Service Type" dataDxfId="9"/>
    <tableColumn id="2" xr3:uid="{2FB9F0A8-C3E1-4A21-B420-5C96EE4F7520}" name="Code Match Type" dataDxfId="8"/>
    <tableColumn id="3" xr3:uid="{889AA79E-0324-473D-8ED2-25D8F0EB3F07}" name="Code Match Value" dataDxfId="7"/>
    <tableColumn id="4" xr3:uid="{8CE713DA-86F6-4683-8489-134D50920551}" name="Thiqa (D001)" dataDxfId="6"/>
    <tableColumn id="8" xr3:uid="{54BEDADD-B8A2-47FE-ABEA-D3E2F8EBBB8E}" name="Low-End (A001)" dataDxfId="5"/>
    <tableColumn id="9" xr3:uid="{14B31FF8-30CF-434C-B935-9C67B3D89E58}" name="Basic (D004)" dataDxfId="4"/>
    <tableColumn id="5" xr3:uid="{B070341B-FC5D-423D-8E98-DAE4651B47CB}" name="NGI (A025)" dataDxfId="3"/>
    <tableColumn id="10" xr3:uid="{38A3730A-BBC6-4E1B-BFF1-6B38D76C9234}" name="Saico (A024)" dataDxfId="2"/>
    <tableColumn id="11" xr3:uid="{18ED3ACB-AAA9-4628-9069-BA992C4AB43C}" name="Nextcare (C002)" dataDxfId="1"/>
    <tableColumn id="12" xr3:uid="{1AC43D42-94AC-4746-BC00-D13C50E75379}" name="Mednet (C004)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F8A23-2B16-4F9C-B6EC-63C31BF2F9D9}">
  <dimension ref="A1:Q16"/>
  <sheetViews>
    <sheetView tabSelected="1" workbookViewId="0">
      <selection activeCell="G23" sqref="G23"/>
    </sheetView>
  </sheetViews>
  <sheetFormatPr defaultRowHeight="15" x14ac:dyDescent="0.25"/>
  <cols>
    <col min="2" max="2" width="12.140625" bestFit="1" customWidth="1"/>
    <col min="3" max="3" width="17" bestFit="1" customWidth="1"/>
    <col min="4" max="4" width="16.7109375" bestFit="1" customWidth="1"/>
    <col min="5" max="5" width="36.42578125" bestFit="1" customWidth="1"/>
    <col min="6" max="6" width="12.140625" bestFit="1" customWidth="1"/>
    <col min="7" max="7" width="14.85546875" bestFit="1" customWidth="1"/>
    <col min="8" max="8" width="12" bestFit="1" customWidth="1"/>
    <col min="9" max="9" width="12.7109375" bestFit="1" customWidth="1"/>
    <col min="10" max="10" width="14.140625" bestFit="1" customWidth="1"/>
    <col min="11" max="11" width="17.85546875" bestFit="1" customWidth="1"/>
    <col min="12" max="12" width="16.5703125" bestFit="1" customWidth="1"/>
    <col min="16" max="16" width="10.28515625" bestFit="1" customWidth="1"/>
    <col min="17" max="17" width="12.140625" bestFit="1" customWidth="1"/>
  </cols>
  <sheetData>
    <row r="1" spans="1:17" x14ac:dyDescent="0.25">
      <c r="A1" s="1" t="s">
        <v>19</v>
      </c>
      <c r="B1" s="1" t="s">
        <v>20</v>
      </c>
      <c r="C1" s="1" t="s">
        <v>24</v>
      </c>
      <c r="D1" s="1" t="s">
        <v>34</v>
      </c>
      <c r="E1" s="1" t="s">
        <v>33</v>
      </c>
      <c r="F1" s="3" t="s">
        <v>35</v>
      </c>
      <c r="G1" s="3" t="s">
        <v>36</v>
      </c>
      <c r="H1" s="3" t="s">
        <v>37</v>
      </c>
      <c r="I1" t="s">
        <v>38</v>
      </c>
      <c r="J1" t="s">
        <v>39</v>
      </c>
      <c r="K1" t="s">
        <v>40</v>
      </c>
      <c r="L1" t="s">
        <v>41</v>
      </c>
      <c r="P1" t="s">
        <v>19</v>
      </c>
      <c r="Q1" t="s">
        <v>20</v>
      </c>
    </row>
    <row r="2" spans="1:17" x14ac:dyDescent="0.25">
      <c r="A2" s="4" t="s">
        <v>0</v>
      </c>
      <c r="B2" s="4" t="str">
        <f>IFERROR(
INDEX(
Facilities[Facility ID],
MATCH(Factors[[#This Row],[Facility]],
Facilities[Facility],0
)
),"")</f>
        <v>MF7003</v>
      </c>
      <c r="C2" s="4" t="s">
        <v>25</v>
      </c>
      <c r="D2" s="4" t="s">
        <v>26</v>
      </c>
      <c r="E2" s="5" t="s">
        <v>32</v>
      </c>
      <c r="F2" s="2">
        <v>1.3</v>
      </c>
      <c r="G2" s="2">
        <v>1.08</v>
      </c>
      <c r="H2" s="2">
        <v>1</v>
      </c>
      <c r="I2" s="6">
        <v>1</v>
      </c>
      <c r="J2" s="6">
        <v>1</v>
      </c>
      <c r="K2" s="6">
        <v>1</v>
      </c>
      <c r="L2" s="6">
        <v>1</v>
      </c>
      <c r="P2" t="s">
        <v>0</v>
      </c>
      <c r="Q2" t="s">
        <v>1</v>
      </c>
    </row>
    <row r="3" spans="1:17" x14ac:dyDescent="0.25">
      <c r="A3" s="4" t="s">
        <v>0</v>
      </c>
      <c r="B3" s="4" t="str">
        <f>IFERROR(
INDEX(
Facilities[Facility ID],
MATCH(Factors[[#This Row],[Facility]],
Facilities[Facility],0
)
),"")</f>
        <v>MF7003</v>
      </c>
      <c r="C3" s="4" t="s">
        <v>27</v>
      </c>
      <c r="D3" s="4" t="s">
        <v>28</v>
      </c>
      <c r="E3" s="5">
        <v>8</v>
      </c>
      <c r="F3" s="2">
        <v>1</v>
      </c>
      <c r="G3" s="2">
        <v>1</v>
      </c>
      <c r="H3" s="2">
        <v>1</v>
      </c>
      <c r="I3" s="6">
        <v>1</v>
      </c>
      <c r="J3" s="6">
        <v>1</v>
      </c>
      <c r="K3" s="6">
        <v>1</v>
      </c>
      <c r="L3" s="6">
        <v>1</v>
      </c>
      <c r="P3" t="s">
        <v>23</v>
      </c>
      <c r="Q3" t="s">
        <v>2</v>
      </c>
    </row>
    <row r="4" spans="1:17" x14ac:dyDescent="0.25">
      <c r="A4" s="4" t="s">
        <v>0</v>
      </c>
      <c r="B4" s="4" t="str">
        <f>IFERROR(
INDEX(
Facilities[Facility ID],
MATCH(Factors[[#This Row],[Facility]],
Facilities[Facility],0
)
),"")</f>
        <v>MF7003</v>
      </c>
      <c r="C4" s="4" t="s">
        <v>29</v>
      </c>
      <c r="D4" s="4" t="s">
        <v>28</v>
      </c>
      <c r="E4" s="5" t="s">
        <v>42</v>
      </c>
      <c r="F4" s="2">
        <v>1.3</v>
      </c>
      <c r="G4" s="2">
        <v>1</v>
      </c>
      <c r="H4" s="2">
        <v>1</v>
      </c>
      <c r="I4" s="6">
        <v>1</v>
      </c>
      <c r="J4" s="6">
        <v>1</v>
      </c>
      <c r="K4" s="6">
        <v>1</v>
      </c>
      <c r="L4" s="6">
        <v>1</v>
      </c>
      <c r="P4" t="s">
        <v>21</v>
      </c>
      <c r="Q4" t="s">
        <v>3</v>
      </c>
    </row>
    <row r="5" spans="1:17" x14ac:dyDescent="0.25">
      <c r="A5" s="4" t="s">
        <v>0</v>
      </c>
      <c r="B5" s="4" t="str">
        <f>IFERROR(
INDEX(
Facilities[Facility ID],
MATCH(Factors[[#This Row],[Facility]],
Facilities[Facility],0
)
),"")</f>
        <v>MF7003</v>
      </c>
      <c r="C5" s="4" t="s">
        <v>30</v>
      </c>
      <c r="D5" s="4" t="s">
        <v>28</v>
      </c>
      <c r="E5" s="5">
        <v>97</v>
      </c>
      <c r="F5" s="2">
        <v>1</v>
      </c>
      <c r="G5" s="2">
        <v>1</v>
      </c>
      <c r="H5" s="2">
        <v>1</v>
      </c>
      <c r="I5" s="6">
        <v>1</v>
      </c>
      <c r="J5" s="6">
        <v>1</v>
      </c>
      <c r="K5" s="6">
        <v>1</v>
      </c>
      <c r="L5" s="6">
        <v>1</v>
      </c>
      <c r="P5" t="s">
        <v>22</v>
      </c>
      <c r="Q5" t="s">
        <v>4</v>
      </c>
    </row>
    <row r="6" spans="1:17" x14ac:dyDescent="0.25">
      <c r="A6" s="4" t="s">
        <v>0</v>
      </c>
      <c r="B6" s="4" t="str">
        <f>IFERROR(
INDEX(
Facilities[Facility ID],
MATCH(Factors[[#This Row],[Facility]],
Facilities[Facility],0
)
),"")</f>
        <v>MF7003</v>
      </c>
      <c r="C6" s="4" t="s">
        <v>31</v>
      </c>
      <c r="D6" s="4" t="s">
        <v>28</v>
      </c>
      <c r="E6" s="5">
        <v>7</v>
      </c>
      <c r="F6" s="2">
        <v>1</v>
      </c>
      <c r="G6" s="2">
        <v>1</v>
      </c>
      <c r="H6" s="2">
        <v>1</v>
      </c>
      <c r="I6" s="6">
        <v>1</v>
      </c>
      <c r="J6" s="6">
        <v>1</v>
      </c>
      <c r="K6" s="6">
        <v>1</v>
      </c>
      <c r="L6" s="6">
        <v>1</v>
      </c>
      <c r="P6" t="s">
        <v>5</v>
      </c>
      <c r="Q6" t="s">
        <v>6</v>
      </c>
    </row>
    <row r="7" spans="1:17" x14ac:dyDescent="0.25">
      <c r="A7" s="4" t="s">
        <v>21</v>
      </c>
      <c r="B7" s="4" t="str">
        <f>IFERROR(
INDEX(
Facilities[Facility ID],
MATCH(Factors[[#This Row],[Facility]],
Facilities[Facility],0
)
),"")</f>
        <v>MF5020</v>
      </c>
      <c r="C7" s="4" t="s">
        <v>25</v>
      </c>
      <c r="D7" s="4" t="s">
        <v>26</v>
      </c>
      <c r="E7" s="5" t="s">
        <v>32</v>
      </c>
      <c r="F7" s="2">
        <v>1.5</v>
      </c>
      <c r="G7" s="2">
        <v>1</v>
      </c>
      <c r="H7" s="2">
        <v>1</v>
      </c>
      <c r="I7" s="6">
        <v>1</v>
      </c>
      <c r="J7" s="6">
        <v>1</v>
      </c>
      <c r="K7" s="6">
        <v>1</v>
      </c>
      <c r="L7" s="6">
        <v>1</v>
      </c>
      <c r="P7" t="s">
        <v>7</v>
      </c>
      <c r="Q7" t="s">
        <v>8</v>
      </c>
    </row>
    <row r="8" spans="1:17" x14ac:dyDescent="0.25">
      <c r="A8" s="4" t="s">
        <v>21</v>
      </c>
      <c r="B8" s="4" t="str">
        <f>IFERROR(
INDEX(
Facilities[Facility ID],
MATCH(Factors[[#This Row],[Facility]],
Facilities[Facility],0
)
),"")</f>
        <v>MF5020</v>
      </c>
      <c r="C8" s="4" t="s">
        <v>27</v>
      </c>
      <c r="D8" s="4" t="s">
        <v>28</v>
      </c>
      <c r="E8" s="5">
        <v>8</v>
      </c>
      <c r="F8" s="2">
        <v>1</v>
      </c>
      <c r="G8" s="2">
        <v>1</v>
      </c>
      <c r="H8" s="2">
        <v>1</v>
      </c>
      <c r="I8" s="6">
        <v>1</v>
      </c>
      <c r="J8" s="6">
        <v>1</v>
      </c>
      <c r="K8" s="6">
        <v>1</v>
      </c>
      <c r="L8" s="6">
        <v>1</v>
      </c>
      <c r="P8" t="s">
        <v>9</v>
      </c>
      <c r="Q8" t="s">
        <v>10</v>
      </c>
    </row>
    <row r="9" spans="1:17" x14ac:dyDescent="0.25">
      <c r="A9" s="4" t="s">
        <v>21</v>
      </c>
      <c r="B9" s="4" t="str">
        <f>IFERROR(
INDEX(
Facilities[Facility ID],
MATCH(Factors[[#This Row],[Facility]],
Facilities[Facility],0
)
),"")</f>
        <v>MF5020</v>
      </c>
      <c r="C9" s="4" t="s">
        <v>29</v>
      </c>
      <c r="D9" s="4" t="s">
        <v>28</v>
      </c>
      <c r="E9" s="5" t="s">
        <v>42</v>
      </c>
      <c r="F9" s="2">
        <v>1.3</v>
      </c>
      <c r="G9" s="2">
        <v>1</v>
      </c>
      <c r="H9" s="2">
        <v>1</v>
      </c>
      <c r="I9" s="6">
        <v>1</v>
      </c>
      <c r="J9" s="6">
        <v>1</v>
      </c>
      <c r="K9" s="6">
        <v>1</v>
      </c>
      <c r="L9" s="6">
        <v>1</v>
      </c>
      <c r="P9" t="s">
        <v>11</v>
      </c>
      <c r="Q9" t="s">
        <v>12</v>
      </c>
    </row>
    <row r="10" spans="1:17" x14ac:dyDescent="0.25">
      <c r="A10" s="4" t="s">
        <v>21</v>
      </c>
      <c r="B10" s="4" t="str">
        <f>IFERROR(
INDEX(
Facilities[Facility ID],
MATCH(Factors[[#This Row],[Facility]],
Facilities[Facility],0
)
),"")</f>
        <v>MF5020</v>
      </c>
      <c r="C10" s="4" t="s">
        <v>30</v>
      </c>
      <c r="D10" s="4" t="s">
        <v>28</v>
      </c>
      <c r="E10" s="5">
        <v>97</v>
      </c>
      <c r="F10" s="2">
        <v>1</v>
      </c>
      <c r="G10" s="2">
        <v>1</v>
      </c>
      <c r="H10" s="2">
        <v>1</v>
      </c>
      <c r="I10" s="6">
        <v>1</v>
      </c>
      <c r="J10" s="6">
        <v>1</v>
      </c>
      <c r="K10" s="6">
        <v>1</v>
      </c>
      <c r="L10" s="6">
        <v>1</v>
      </c>
      <c r="P10" t="s">
        <v>13</v>
      </c>
      <c r="Q10" t="s">
        <v>14</v>
      </c>
    </row>
    <row r="11" spans="1:17" x14ac:dyDescent="0.25">
      <c r="A11" s="4" t="s">
        <v>21</v>
      </c>
      <c r="B11" s="4" t="str">
        <f>IFERROR(
INDEX(
Facilities[Facility ID],
MATCH(Factors[[#This Row],[Facility]],
Facilities[Facility],0
)
),"")</f>
        <v>MF5020</v>
      </c>
      <c r="C11" s="4" t="s">
        <v>31</v>
      </c>
      <c r="D11" s="4" t="s">
        <v>28</v>
      </c>
      <c r="E11" s="5">
        <v>7</v>
      </c>
      <c r="F11" s="2">
        <v>1</v>
      </c>
      <c r="G11" s="2">
        <v>1</v>
      </c>
      <c r="H11" s="2">
        <v>1</v>
      </c>
      <c r="I11" s="6">
        <v>1</v>
      </c>
      <c r="J11" s="6">
        <v>1</v>
      </c>
      <c r="K11" s="6">
        <v>1</v>
      </c>
      <c r="L11" s="6">
        <v>1</v>
      </c>
      <c r="P11" t="s">
        <v>15</v>
      </c>
      <c r="Q11" t="s">
        <v>16</v>
      </c>
    </row>
    <row r="12" spans="1:17" x14ac:dyDescent="0.25">
      <c r="A12" s="4" t="s">
        <v>22</v>
      </c>
      <c r="B12" s="4" t="str">
        <f>IFERROR(
INDEX(
Facilities[Facility ID],
MATCH(Factors[[#This Row],[Facility]],
Facilities[Facility],0
)
),"")</f>
        <v>MF5357</v>
      </c>
      <c r="C12" s="4" t="s">
        <v>25</v>
      </c>
      <c r="D12" s="4" t="s">
        <v>26</v>
      </c>
      <c r="E12" s="5" t="s">
        <v>32</v>
      </c>
      <c r="F12" s="2">
        <v>1.5</v>
      </c>
      <c r="G12" s="2">
        <v>1</v>
      </c>
      <c r="H12" s="2">
        <v>1</v>
      </c>
      <c r="I12" s="2">
        <v>1</v>
      </c>
      <c r="J12" s="2">
        <v>1</v>
      </c>
      <c r="K12" s="2">
        <v>1</v>
      </c>
      <c r="L12" s="2">
        <v>1</v>
      </c>
      <c r="P12" t="s">
        <v>17</v>
      </c>
      <c r="Q12" t="s">
        <v>18</v>
      </c>
    </row>
    <row r="13" spans="1:17" x14ac:dyDescent="0.25">
      <c r="A13" s="4" t="s">
        <v>22</v>
      </c>
      <c r="B13" s="4" t="str">
        <f>IFERROR(
INDEX(
Facilities[Facility ID],
MATCH(Factors[[#This Row],[Facility]],
Facilities[Facility],0
)
),"")</f>
        <v>MF5357</v>
      </c>
      <c r="C13" s="4" t="s">
        <v>27</v>
      </c>
      <c r="D13" s="4" t="s">
        <v>28</v>
      </c>
      <c r="E13" s="5">
        <v>8</v>
      </c>
      <c r="F13" s="2">
        <v>1</v>
      </c>
      <c r="G13" s="2">
        <v>1</v>
      </c>
      <c r="H13" s="2">
        <v>1</v>
      </c>
      <c r="I13" s="2">
        <v>1</v>
      </c>
      <c r="J13" s="2">
        <v>1</v>
      </c>
      <c r="K13" s="2">
        <v>1</v>
      </c>
      <c r="L13" s="2">
        <v>1</v>
      </c>
    </row>
    <row r="14" spans="1:17" x14ac:dyDescent="0.25">
      <c r="A14" s="4" t="s">
        <v>22</v>
      </c>
      <c r="B14" s="4" t="str">
        <f>IFERROR(
INDEX(
Facilities[Facility ID],
MATCH(Factors[[#This Row],[Facility]],
Facilities[Facility],0
)
),"")</f>
        <v>MF5357</v>
      </c>
      <c r="C14" s="4" t="s">
        <v>29</v>
      </c>
      <c r="D14" s="4" t="s">
        <v>28</v>
      </c>
      <c r="E14" s="5" t="s">
        <v>42</v>
      </c>
      <c r="F14" s="2">
        <v>1</v>
      </c>
      <c r="G14" s="2">
        <v>1</v>
      </c>
      <c r="H14" s="2">
        <v>1</v>
      </c>
      <c r="I14" s="2">
        <v>1</v>
      </c>
      <c r="J14" s="2">
        <v>1</v>
      </c>
      <c r="K14" s="2">
        <v>1</v>
      </c>
      <c r="L14" s="2">
        <v>1</v>
      </c>
    </row>
    <row r="15" spans="1:17" x14ac:dyDescent="0.25">
      <c r="A15" s="4" t="s">
        <v>22</v>
      </c>
      <c r="B15" s="4" t="str">
        <f>IFERROR(
INDEX(
Facilities[Facility ID],
MATCH(Factors[[#This Row],[Facility]],
Facilities[Facility],0
)
),"")</f>
        <v>MF5357</v>
      </c>
      <c r="C15" s="4" t="s">
        <v>30</v>
      </c>
      <c r="D15" s="4" t="s">
        <v>28</v>
      </c>
      <c r="E15" s="5">
        <v>97</v>
      </c>
      <c r="F15" s="2">
        <v>1</v>
      </c>
      <c r="G15" s="2">
        <v>1</v>
      </c>
      <c r="H15" s="2">
        <v>1</v>
      </c>
      <c r="I15" s="2">
        <v>1</v>
      </c>
      <c r="J15" s="2">
        <v>1</v>
      </c>
      <c r="K15" s="2">
        <v>1</v>
      </c>
      <c r="L15" s="2">
        <v>1</v>
      </c>
    </row>
    <row r="16" spans="1:17" x14ac:dyDescent="0.25">
      <c r="A16" s="4" t="s">
        <v>22</v>
      </c>
      <c r="B16" s="4" t="str">
        <f>IFERROR(
INDEX(
Facilities[Facility ID],
MATCH(Factors[[#This Row],[Facility]],
Facilities[Facility],0
)
),"")</f>
        <v>MF5357</v>
      </c>
      <c r="C16" s="4" t="s">
        <v>31</v>
      </c>
      <c r="D16" s="4" t="s">
        <v>28</v>
      </c>
      <c r="E16" s="5">
        <v>7</v>
      </c>
      <c r="F16" s="2">
        <v>1</v>
      </c>
      <c r="G16" s="2">
        <v>1</v>
      </c>
      <c r="H16" s="2">
        <v>1</v>
      </c>
      <c r="I16" s="2">
        <v>1</v>
      </c>
      <c r="J16" s="2">
        <v>1</v>
      </c>
      <c r="K16" s="2">
        <v>1</v>
      </c>
      <c r="L16" s="2">
        <v>1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RMC t</dc:creator>
  <cp:lastModifiedBy>RMC t</cp:lastModifiedBy>
  <dcterms:created xsi:type="dcterms:W3CDTF">2026-07-15T08:35:05Z</dcterms:created>
  <dcterms:modified xsi:type="dcterms:W3CDTF">2026-07-15T09:34:28Z</dcterms:modified>
</cp:coreProperties>
</file>