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2019b9235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0cabca28eb4086"/>
  </x:sheets>
</x:workbook>
</file>

<file path=xl/sharedStrings.xml><?xml version="1.0" encoding="utf-8"?>
<x:sst xmlns:x="http://schemas.openxmlformats.org/spreadsheetml/2006/main">
  <x:si>
    <x:t xml:space="preserve">Facility</x:t>
  </x:si>
  <x:si>
    <x:t xml:space="preserve">Facility ID</x:t>
  </x:si>
  <x:si>
    <x:t xml:space="preserve">Service Type</x:t>
  </x:si>
  <x:si>
    <x:t xml:space="preserve">Code Match Type</x:t>
  </x:si>
  <x:si>
    <x:t xml:space="preserve">Code Match Value</x:t>
  </x:si>
  <x:si>
    <x:t xml:space="preserve">Thiqa (D001)</x:t>
  </x:si>
  <x:si>
    <x:t xml:space="preserve">Low-End (A001)</x:t>
  </x:si>
  <x:si>
    <x:t xml:space="preserve">Basic (D004)</x:t>
  </x:si>
  <x:si>
    <x:t xml:space="preserve">NGI (A025)</x:t>
  </x:si>
  <x:si>
    <x:t xml:space="preserve">Saico (A024)</x:t>
  </x:si>
  <x:si>
    <x:t xml:space="preserve">Nextcare (C002)</x:t>
  </x:si>
  <x:si>
    <x:t xml:space="preserve">Mednet (C004)</x:t>
  </x:si>
  <x:si>
    <x:t xml:space="preserve">Truelife</x:t>
  </x:si>
  <x:si>
    <x:t xml:space="preserve">Consultation</x:t>
  </x:si>
  <x:si>
    <x:t xml:space="preserve">Exact List</x:t>
  </x:si>
  <x:si>
    <x:t xml:space="preserve">99202, 99203, 99212, 99213</x:t>
  </x:si>
  <x:si>
    <x:t xml:space="preserve">MF7003</x:t>
  </x:si>
  <x:si>
    <x:t xml:space="preserve">Laboratory</x:t>
  </x:si>
  <x:si>
    <x:t xml:space="preserve">Starts With</x:t>
  </x:si>
  <x:si>
    <x:t xml:space="preserve">Extramall</x:t>
  </x:si>
  <x:si>
    <x:t xml:space="preserve">MF5090</x:t>
  </x:si>
  <x:si>
    <x:t xml:space="preserve">Medical Services</x:t>
  </x:si>
  <x:si>
    <x:t xml:space="preserve">1, 2, 3, 4, 5, or 6</x:t>
  </x:si>
  <x:si>
    <x:t xml:space="preserve">Khabisi</x:t>
  </x:si>
  <x:si>
    <x:t xml:space="preserve">MF5020</x:t>
  </x:si>
  <x:si>
    <x:t xml:space="preserve">Physiotherapy</x:t>
  </x:si>
  <x:si>
    <x:t xml:space="preserve">Al Yahar</x:t>
  </x:si>
  <x:si>
    <x:t xml:space="preserve">MF5357</x:t>
  </x:si>
  <x:si>
    <x:t xml:space="preserve">Radiology</x:t>
  </x:si>
  <x:si>
    <x:t xml:space="preserve">Ivory</x:t>
  </x:si>
  <x:si>
    <x:t xml:space="preserve">MF4456</x:t>
  </x:si>
  <x:si>
    <x:t xml:space="preserve">Majestic</x:t>
  </x:si>
  <x:si>
    <x:t xml:space="preserve">MF1901</x:t>
  </x:si>
  <x:si>
    <x:t xml:space="preserve">Lauretta</x:t>
  </x:si>
  <x:si>
    <x:t xml:space="preserve">MF4706</x:t>
  </x:si>
  <x:si>
    <x:t xml:space="preserve">Emirates</x:t>
  </x:si>
  <x:si>
    <x:t xml:space="preserve">MF232</x:t>
  </x:si>
  <x:si>
    <x:t xml:space="preserve">Scandcare</x:t>
  </x:si>
  <x:si>
    <x:t xml:space="preserve">MF456</x:t>
  </x:si>
  <x:si>
    <x:t xml:space="preserve">Nazek</x:t>
  </x:si>
  <x:si>
    <x:t xml:space="preserve">MF5009</x:t>
  </x:si>
  <x:si>
    <x:t xml:space="preserve">WLDY</x:t>
  </x:si>
  <x:si>
    <x:t xml:space="preserve">MF5339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</x:si>
</x:sst>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</x:font>
    <x:font>
      <x:b/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right" vertical="center" wrapText="1"/>
    </x:xf>
    <x:xf numFmtId="0" fontId="1" fillId="0" borderId="0" xfId="0" applyFont="1" applyAlignment="1">
      <x:alignment horizontal="right" vertical="center" wrapText="1"/>
    </x:xf>
    <x:xf numFmtId="0" fontId="0" fillId="0" borderId="0" xfId="0" applyAlignment="1">
      <x:alignment vertical="center" wrapText="1"/>
    </x:xf>
    <x:xf numFmtId="49" fontId="0" fillId="0" borderId="0" xfId="0" applyNumberFormat="1" applyAlignment="1">
      <x:alignment vertical="center" wrapText="1"/>
    </x:xf>
    <x:xf numFmtId="0" fontId="0" fillId="0" borderId="0" xfId="0" applyFill="1"/>
  </x:cellXfs>
  <x:cellStyles count="1">
    <x:cellStyle name="Normal" xfId="0"/>
  </x:cellStyles>
  <x:dxfs count="13"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numFmt numFmtId="30" formatCode="@"/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ont>
        <x:u val="none"/>
        <x:sz val="11"/>
        <x:color theme="1"/>
        <x:name val="Aptos Narrow"/>
        <x:family val="2"/>
        <x:scheme val="minor"/>
      </x:font>
      <x:numFmt numFmtId="0" formatCode="General"/>
      <x:fill>
        <x:patternFill patternType="solid">
          <x:bgColor indexed="65"/>
        </x:patternFill>
      </x:fill>
    </x:dxf>
    <x:dxf>
      <x:font>
        <x:u val="none"/>
        <x:sz val="11"/>
        <x:color theme="1"/>
        <x:name val="Aptos Narrow"/>
        <x:family val="2"/>
        <x:scheme val="minor"/>
      </x:font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3d8cbbc1a4ce2" /><Relationship Type="http://schemas.openxmlformats.org/officeDocument/2006/relationships/theme" Target="/xl/theme/theme1.xml" Id="R6f874953d8ab4e61" /><Relationship Type="http://schemas.openxmlformats.org/officeDocument/2006/relationships/sharedStrings" Target="/xl/sharedStrings.xml" Id="R0b80a4a1a75448ed" /><Relationship Type="http://schemas.openxmlformats.org/officeDocument/2006/relationships/worksheet" Target="/xl/worksheets/sheet1.xml" Id="R140cabca28eb4086" /></Relationships>
</file>

<file path=xl/tables/table1.xml><?xml version="1.0" encoding="utf-8"?>
<x:table xmlns:x="http://schemas.openxmlformats.org/spreadsheetml/2006/main" id="1" name="Facilities" displayName="Facilities" ref="P1:Q12">
  <x:autoFilter ref="P1:Q12"/>
  <x:tableColumns count="2">
    <x:tableColumn id="1" name="Facility"/>
    <x:tableColumn id="2" name="Facility ID"/>
  </x:tableColumns>
  <x:tableStyleInfo name="TableStyleLight1" showRowStripes="1"/>
</x:table>
</file>

<file path=xl/tables/table2.xml><?xml version="1.0" encoding="utf-8"?>
<x:table xmlns:x="http://schemas.openxmlformats.org/spreadsheetml/2006/main" id="2" name="Factors" displayName="Factors" ref="A1:L16">
  <x:autoFilter ref="A1:L16"/>
  <x:tableColumns count="12">
    <x:tableColumn id="6" name="Facility"/>
    <x:tableColumn id="7" name="Facility ID"/>
    <x:tableColumn id="1" name="Service Type"/>
    <x:tableColumn id="2" name="Code Match Type"/>
    <x:tableColumn id="3" name="Code Match Value"/>
    <x:tableColumn id="4" name="Thiqa (D001)"/>
    <x:tableColumn id="8" name="Low-End (A001)"/>
    <x:tableColumn id="9" name="Basic (D004)"/>
    <x:tableColumn id="5" name="NGI (A025)"/>
    <x:tableColumn id="10" name="Saico (A024)"/>
    <x:tableColumn id="11" name="Nextcare (C002)"/>
    <x:tableColumn id="12" name="Mednet (C004)"/>
  </x:tableColumns>
  <x:tableStyleInfo name="TableStyleLight1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f2ccb0d14479b" /><Relationship Type="http://schemas.openxmlformats.org/officeDocument/2006/relationships/table" Target="/xl/tables/table2.xml" Id="Re5bba441dc9d44c7" /></Relationships>
</file>

<file path=xl/worksheets/sheet1.xml><?xml version="1.0" encoding="utf-8"?>
<x:worksheet xmlns:x="http://schemas.openxmlformats.org/spreadsheetml/2006/main">
  <x:sheetFormatPr defaultRowHeight="15"/>
  <x:cols>
    <x:col min="2" max="2" width="12.140625" customWidth="1"/>
    <x:col min="3" max="3" width="17" customWidth="1"/>
    <x:col min="4" max="4" width="16.7109375" customWidth="1"/>
    <x:col min="5" max="5" width="28.28515625" customWidth="1"/>
    <x:col min="6" max="6" width="12.140625" customWidth="1"/>
    <x:col min="7" max="7" width="14.85546875" customWidth="1"/>
    <x:col min="8" max="8" width="12" customWidth="1"/>
    <x:col min="9" max="9" width="12.7109375" customWidth="1"/>
    <x:col min="10" max="10" width="14.140625" customWidth="1"/>
    <x:col min="11" max="11" width="17.85546875" customWidth="1"/>
    <x:col min="12" max="12" width="16.5703125" customWidth="1"/>
    <x:col min="16" max="16" width="10.28515625" customWidth="1"/>
    <x:col min="17" max="17" width="12.14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3" t="s">
        <x:v>5</x:v>
      </x:c>
      <x:c r="G1" s="3" t="s">
        <x:v>6</x:v>
      </x:c>
      <x:c r="H1" s="3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P1" t="s">
        <x:v>0</x:v>
      </x:c>
      <x:c r="Q1" t="s">
        <x:v>1</x:v>
      </x:c>
    </x:row>
    <x:row r="2">
      <x:c r="A2" s="4" t="s">
        <x:v>12</x:v>
      </x:c>
      <x:c r="B2" s="4" t="str">
        <x:f>IFERROR(
INDEX(
Facilities[Facility ID],
MATCH(Factors[[#This Row],[Facility]],
Facilities[Facility],0
)
),"")</x:f>
        <x:v>MF7003</x:v>
      </x:c>
      <x:c r="C2" s="4" t="s">
        <x:v>13</x:v>
      </x:c>
      <x:c r="D2" s="4" t="s">
        <x:v>14</x:v>
      </x:c>
      <x:c r="E2" s="5" t="s">
        <x:v>15</x:v>
      </x:c>
      <x:c r="F2" s="2">
        <x:v>1.3</x:v>
      </x:c>
      <x:c r="G2" s="2">
        <x:v>1.08</x:v>
      </x:c>
      <x:c r="H2" s="2">
        <x:v>1</x:v>
      </x:c>
      <x:c r="I2" s="6">
        <x:v>1</x:v>
      </x:c>
      <x:c r="J2" s="6">
        <x:v>1</x:v>
      </x:c>
      <x:c r="K2" s="6">
        <x:v>1</x:v>
      </x:c>
      <x:c r="L2" s="6">
        <x:v>1</x:v>
      </x:c>
      <x:c r="P2" t="s">
        <x:v>12</x:v>
      </x:c>
      <x:c r="Q2" t="s">
        <x:v>16</x:v>
      </x:c>
    </x:row>
    <x:row r="3">
      <x:c r="A3" s="4" t="s">
        <x:v>12</x:v>
      </x:c>
      <x:c r="B3" s="4" t="str">
        <x:f>IFERROR(
INDEX(
Facilities[Facility ID],
MATCH(Factors[[#This Row],[Facility]],
Facilities[Facility],0
)
),"")</x:f>
        <x:v>MF7003</x:v>
      </x:c>
      <x:c r="C3" s="4" t="s">
        <x:v>17</x:v>
      </x:c>
      <x:c r="D3" s="4" t="s">
        <x:v>18</x:v>
      </x:c>
      <x:c r="E3" s="5">
        <x:v>8</x:v>
      </x:c>
      <x:c r="F3" s="2">
        <x:v>1</x:v>
      </x:c>
      <x:c r="G3" s="2">
        <x:v>1</x:v>
      </x:c>
      <x:c r="H3" s="2">
        <x:v>1</x:v>
      </x:c>
      <x:c r="I3" s="6">
        <x:v>1</x:v>
      </x:c>
      <x:c r="J3" s="6">
        <x:v>1</x:v>
      </x:c>
      <x:c r="K3" s="6">
        <x:v>1</x:v>
      </x:c>
      <x:c r="L3" s="6">
        <x:v>1</x:v>
      </x:c>
      <x:c r="P3" t="s">
        <x:v>19</x:v>
      </x:c>
      <x:c r="Q3" t="s">
        <x:v>20</x:v>
      </x:c>
    </x:row>
    <x:row r="4">
      <x:c r="A4" s="4" t="s">
        <x:v>12</x:v>
      </x:c>
      <x:c r="B4" s="4" t="str">
        <x:f>IFERROR(
INDEX(
Facilities[Facility ID],
MATCH(Factors[[#This Row],[Facility]],
Facilities[Facility],0
)
),"")</x:f>
        <x:v>MF7003</x:v>
      </x:c>
      <x:c r="C4" s="4" t="s">
        <x:v>21</x:v>
      </x:c>
      <x:c r="D4" s="4" t="s">
        <x:v>18</x:v>
      </x:c>
      <x:c r="E4" s="5" t="s">
        <x:v>22</x:v>
      </x:c>
      <x:c r="F4" s="2">
        <x:v>1.3</x:v>
      </x:c>
      <x:c r="G4" s="2">
        <x:v>1</x:v>
      </x:c>
      <x:c r="H4" s="2">
        <x:v>1</x:v>
      </x:c>
      <x:c r="I4" s="6">
        <x:v>1</x:v>
      </x:c>
      <x:c r="J4" s="6">
        <x:v>1</x:v>
      </x:c>
      <x:c r="K4" s="6">
        <x:v>1</x:v>
      </x:c>
      <x:c r="L4" s="6">
        <x:v>1</x:v>
      </x:c>
      <x:c r="P4" t="s">
        <x:v>23</x:v>
      </x:c>
      <x:c r="Q4" t="s">
        <x:v>24</x:v>
      </x:c>
    </x:row>
    <x:row r="5">
      <x:c r="A5" s="4" t="s">
        <x:v>12</x:v>
      </x:c>
      <x:c r="B5" s="4" t="str">
        <x:f>IFERROR(
INDEX(
Facilities[Facility ID],
MATCH(Factors[[#This Row],[Facility]],
Facilities[Facility],0
)
),"")</x:f>
        <x:v>MF7003</x:v>
      </x:c>
      <x:c r="C5" s="4" t="s">
        <x:v>25</x:v>
      </x:c>
      <x:c r="D5" s="4" t="s">
        <x:v>18</x:v>
      </x:c>
      <x:c r="E5" s="5">
        <x:v>97</x:v>
      </x:c>
      <x:c r="F5" s="2">
        <x:v>1</x:v>
      </x:c>
      <x:c r="G5" s="2">
        <x:v>1</x:v>
      </x:c>
      <x:c r="H5" s="2">
        <x:v>1</x:v>
      </x:c>
      <x:c r="I5" s="6">
        <x:v>1</x:v>
      </x:c>
      <x:c r="J5" s="6">
        <x:v>1</x:v>
      </x:c>
      <x:c r="K5" s="6">
        <x:v>1</x:v>
      </x:c>
      <x:c r="L5" s="6">
        <x:v>1</x:v>
      </x:c>
      <x:c r="P5" t="s">
        <x:v>26</x:v>
      </x:c>
      <x:c r="Q5" t="s">
        <x:v>27</x:v>
      </x:c>
    </x:row>
    <x:row r="6">
      <x:c r="A6" s="4" t="s">
        <x:v>12</x:v>
      </x:c>
      <x:c r="B6" s="4" t="str">
        <x:f>IFERROR(
INDEX(
Facilities[Facility ID],
MATCH(Factors[[#This Row],[Facility]],
Facilities[Facility],0
)
),"")</x:f>
        <x:v>MF7003</x:v>
      </x:c>
      <x:c r="C6" s="4" t="s">
        <x:v>28</x:v>
      </x:c>
      <x:c r="D6" s="4" t="s">
        <x:v>18</x:v>
      </x:c>
      <x:c r="E6" s="5">
        <x:v>7</x:v>
      </x:c>
      <x:c r="F6" s="2">
        <x:v>1</x:v>
      </x:c>
      <x:c r="G6" s="2">
        <x:v>1</x:v>
      </x:c>
      <x:c r="H6" s="2">
        <x:v>1</x:v>
      </x:c>
      <x:c r="I6" s="6">
        <x:v>1</x:v>
      </x:c>
      <x:c r="J6" s="6">
        <x:v>1</x:v>
      </x:c>
      <x:c r="K6" s="6">
        <x:v>1</x:v>
      </x:c>
      <x:c r="L6" s="6">
        <x:v>1</x:v>
      </x:c>
      <x:c r="P6" t="s">
        <x:v>29</x:v>
      </x:c>
      <x:c r="Q6" t="s">
        <x:v>30</x:v>
      </x:c>
    </x:row>
    <x:row r="7">
      <x:c r="A7" s="4" t="s">
        <x:v>23</x:v>
      </x:c>
      <x:c r="B7" s="4" t="str">
        <x:f>IFERROR(
INDEX(
Facilities[Facility ID],
MATCH(Factors[[#This Row],[Facility]],
Facilities[Facility],0
)
),"")</x:f>
        <x:v>MF5020</x:v>
      </x:c>
      <x:c r="C7" s="4" t="s">
        <x:v>13</x:v>
      </x:c>
      <x:c r="D7" s="4" t="s">
        <x:v>14</x:v>
      </x:c>
      <x:c r="E7" s="5" t="s">
        <x:v>15</x:v>
      </x:c>
      <x:c r="F7" s="2">
        <x:v>1.5</x:v>
      </x:c>
      <x:c r="G7" s="2">
        <x:v>1</x:v>
      </x:c>
      <x:c r="H7" s="2">
        <x:v>1</x:v>
      </x:c>
      <x:c r="I7" s="6">
        <x:v>1</x:v>
      </x:c>
      <x:c r="J7" s="6">
        <x:v>1</x:v>
      </x:c>
      <x:c r="K7" s="6">
        <x:v>1</x:v>
      </x:c>
      <x:c r="L7" s="6">
        <x:v>1</x:v>
      </x:c>
      <x:c r="P7" t="s">
        <x:v>31</x:v>
      </x:c>
      <x:c r="Q7" t="s">
        <x:v>32</x:v>
      </x:c>
    </x:row>
    <x:row r="8">
      <x:c r="A8" s="4" t="s">
        <x:v>23</x:v>
      </x:c>
      <x:c r="B8" s="4" t="str">
        <x:f>IFERROR(
INDEX(
Facilities[Facility ID],
MATCH(Factors[[#This Row],[Facility]],
Facilities[Facility],0
)
),"")</x:f>
        <x:v>MF5020</x:v>
      </x:c>
      <x:c r="C8" s="4" t="s">
        <x:v>17</x:v>
      </x:c>
      <x:c r="D8" s="4" t="s">
        <x:v>18</x:v>
      </x:c>
      <x:c r="E8" s="5">
        <x:v>8</x:v>
      </x:c>
      <x:c r="F8" s="2">
        <x:v>1</x:v>
      </x:c>
      <x:c r="G8" s="2">
        <x:v>1</x:v>
      </x:c>
      <x:c r="H8" s="2">
        <x:v>1</x:v>
      </x:c>
      <x:c r="I8" s="6">
        <x:v>1</x:v>
      </x:c>
      <x:c r="J8" s="6">
        <x:v>1</x:v>
      </x:c>
      <x:c r="K8" s="6">
        <x:v>1</x:v>
      </x:c>
      <x:c r="L8" s="6">
        <x:v>1</x:v>
      </x:c>
      <x:c r="P8" t="s">
        <x:v>33</x:v>
      </x:c>
      <x:c r="Q8" t="s">
        <x:v>34</x:v>
      </x:c>
    </x:row>
    <x:row r="9">
      <x:c r="A9" s="4" t="s">
        <x:v>23</x:v>
      </x:c>
      <x:c r="B9" s="4" t="str">
        <x:f>IFERROR(
INDEX(
Facilities[Facility ID],
MATCH(Factors[[#This Row],[Facility]],
Facilities[Facility],0
)
),"")</x:f>
        <x:v>MF5020</x:v>
      </x:c>
      <x:c r="C9" s="4" t="s">
        <x:v>21</x:v>
      </x:c>
      <x:c r="D9" s="4" t="s">
        <x:v>18</x:v>
      </x:c>
      <x:c r="E9" s="5" t="s">
        <x:v>22</x:v>
      </x:c>
      <x:c r="F9" s="2">
        <x:v>1.3</x:v>
      </x:c>
      <x:c r="G9" s="2">
        <x:v>1</x:v>
      </x:c>
      <x:c r="H9" s="2">
        <x:v>1</x:v>
      </x:c>
      <x:c r="I9" s="6">
        <x:v>1</x:v>
      </x:c>
      <x:c r="J9" s="6">
        <x:v>1</x:v>
      </x:c>
      <x:c r="K9" s="6">
        <x:v>1</x:v>
      </x:c>
      <x:c r="L9" s="6">
        <x:v>1</x:v>
      </x:c>
      <x:c r="P9" t="s">
        <x:v>35</x:v>
      </x:c>
      <x:c r="Q9" t="s">
        <x:v>36</x:v>
      </x:c>
    </x:row>
    <x:row r="10">
      <x:c r="A10" s="4" t="s">
        <x:v>23</x:v>
      </x:c>
      <x:c r="B10" s="4" t="str">
        <x:f>IFERROR(
INDEX(
Facilities[Facility ID],
MATCH(Factors[[#This Row],[Facility]],
Facilities[Facility],0
)
),"")</x:f>
        <x:v>MF5020</x:v>
      </x:c>
      <x:c r="C10" s="4" t="s">
        <x:v>25</x:v>
      </x:c>
      <x:c r="D10" s="4" t="s">
        <x:v>18</x:v>
      </x:c>
      <x:c r="E10" s="5">
        <x:v>97</x:v>
      </x:c>
      <x:c r="F10" s="2">
        <x:v>1</x:v>
      </x:c>
      <x:c r="G10" s="2">
        <x:v>1</x:v>
      </x:c>
      <x:c r="H10" s="2">
        <x:v>1</x:v>
      </x:c>
      <x:c r="I10" s="6">
        <x:v>1</x:v>
      </x:c>
      <x:c r="J10" s="6">
        <x:v>1</x:v>
      </x:c>
      <x:c r="K10" s="6">
        <x:v>1</x:v>
      </x:c>
      <x:c r="L10" s="6">
        <x:v>1</x:v>
      </x:c>
      <x:c r="P10" t="s">
        <x:v>37</x:v>
      </x:c>
      <x:c r="Q10" t="s">
        <x:v>38</x:v>
      </x:c>
    </x:row>
    <x:row r="11">
      <x:c r="A11" s="4" t="s">
        <x:v>23</x:v>
      </x:c>
      <x:c r="B11" s="4" t="str">
        <x:f>IFERROR(
INDEX(
Facilities[Facility ID],
MATCH(Factors[[#This Row],[Facility]],
Facilities[Facility],0
)
),"")</x:f>
        <x:v>MF5020</x:v>
      </x:c>
      <x:c r="C11" s="4" t="s">
        <x:v>28</x:v>
      </x:c>
      <x:c r="D11" s="4" t="s">
        <x:v>18</x:v>
      </x:c>
      <x:c r="E11" s="5">
        <x:v>7</x:v>
      </x:c>
      <x:c r="F11" s="2">
        <x:v>1</x:v>
      </x:c>
      <x:c r="G11" s="2">
        <x:v>1</x:v>
      </x:c>
      <x:c r="H11" s="2">
        <x:v>1</x:v>
      </x:c>
      <x:c r="I11" s="6">
        <x:v>1</x:v>
      </x:c>
      <x:c r="J11" s="6">
        <x:v>1</x:v>
      </x:c>
      <x:c r="K11" s="6">
        <x:v>1</x:v>
      </x:c>
      <x:c r="L11" s="6">
        <x:v>1</x:v>
      </x:c>
      <x:c r="P11" t="s">
        <x:v>39</x:v>
      </x:c>
      <x:c r="Q11" t="s">
        <x:v>40</x:v>
      </x:c>
    </x:row>
    <x:row r="12">
      <x:c r="A12" s="4" t="s">
        <x:v>26</x:v>
      </x:c>
      <x:c r="B12" s="4" t="str">
        <x:f>IFERROR(
INDEX(
Facilities[Facility ID],
MATCH(Factors[[#This Row],[Facility]],
Facilities[Facility],0
)
),"")</x:f>
        <x:v>MF5357</x:v>
      </x:c>
      <x:c r="C12" s="4" t="s">
        <x:v>13</x:v>
      </x:c>
      <x:c r="D12" s="4" t="s">
        <x:v>14</x:v>
      </x:c>
      <x:c r="E12" s="5" t="s">
        <x:v>15</x:v>
      </x:c>
      <x:c r="F12" s="2">
        <x:v>1.5</x:v>
      </x:c>
      <x:c r="G12" s="2">
        <x:v>1</x:v>
      </x:c>
      <x:c r="H12" s="2">
        <x:v>1</x:v>
      </x:c>
      <x:c r="I12" s="2">
        <x:v>1</x:v>
      </x:c>
      <x:c r="J12" s="2">
        <x:v>1</x:v>
      </x:c>
      <x:c r="K12" s="2">
        <x:v>1</x:v>
      </x:c>
      <x:c r="L12" s="2">
        <x:v>1</x:v>
      </x:c>
      <x:c r="P12" t="s">
        <x:v>41</x:v>
      </x:c>
      <x:c r="Q12" t="s">
        <x:v>42</x:v>
      </x:c>
    </x:row>
    <x:row r="13">
      <x:c r="A13" s="4" t="s">
        <x:v>26</x:v>
      </x:c>
      <x:c r="B13" s="4" t="str">
        <x:f>IFERROR(
INDEX(
Facilities[Facility ID],
MATCH(Factors[[#This Row],[Facility]],
Facilities[Facility],0
)
),"")</x:f>
        <x:v>MF5357</x:v>
      </x:c>
      <x:c r="C13" s="4" t="s">
        <x:v>17</x:v>
      </x:c>
      <x:c r="D13" s="4" t="s">
        <x:v>18</x:v>
      </x:c>
      <x:c r="E13" s="5">
        <x:v>8</x:v>
      </x:c>
      <x:c r="F13" s="2">
        <x:v>1</x:v>
      </x:c>
      <x:c r="G13" s="2">
        <x:v>1</x:v>
      </x:c>
      <x:c r="H13" s="2">
        <x:v>1</x:v>
      </x:c>
      <x:c r="I13" s="2">
        <x:v>1</x:v>
      </x:c>
      <x:c r="J13" s="2">
        <x:v>1</x:v>
      </x:c>
      <x:c r="K13" s="2">
        <x:v>1</x:v>
      </x:c>
      <x:c r="L13" s="2">
        <x:v>1</x:v>
      </x:c>
    </x:row>
    <x:row r="14">
      <x:c r="A14" s="4" t="s">
        <x:v>26</x:v>
      </x:c>
      <x:c r="B14" s="4" t="str">
        <x:f>IFERROR(
INDEX(
Facilities[Facility ID],
MATCH(Factors[[#This Row],[Facility]],
Facilities[Facility],0
)
),"")</x:f>
        <x:v>MF5357</x:v>
      </x:c>
      <x:c r="C14" s="4" t="s">
        <x:v>21</x:v>
      </x:c>
      <x:c r="D14" s="4" t="s">
        <x:v>18</x:v>
      </x:c>
      <x:c r="E14" s="5" t="s">
        <x:v>22</x:v>
      </x:c>
      <x:c r="F14" s="2">
        <x:v>1</x:v>
      </x:c>
      <x:c r="G14" s="2">
        <x:v>1</x:v>
      </x:c>
      <x:c r="H14" s="2">
        <x:v>1</x:v>
      </x:c>
      <x:c r="I14" s="2">
        <x:v>1</x:v>
      </x:c>
      <x:c r="J14" s="2">
        <x:v>1</x:v>
      </x:c>
      <x:c r="K14" s="2">
        <x:v>1</x:v>
      </x:c>
      <x:c r="L14" s="2">
        <x:v>1</x:v>
      </x:c>
    </x:row>
    <x:row r="15">
      <x:c r="A15" s="4" t="s">
        <x:v>26</x:v>
      </x:c>
      <x:c r="B15" s="4" t="str">
        <x:f>IFERROR(
INDEX(
Facilities[Facility ID],
MATCH(Factors[[#This Row],[Facility]],
Facilities[Facility],0
)
),"")</x:f>
        <x:v>MF5357</x:v>
      </x:c>
      <x:c r="C15" s="4" t="s">
        <x:v>25</x:v>
      </x:c>
      <x:c r="D15" s="4" t="s">
        <x:v>18</x:v>
      </x:c>
      <x:c r="E15" s="5">
        <x:v>97</x:v>
      </x:c>
      <x:c r="F15" s="2">
        <x:v>1</x:v>
      </x:c>
      <x:c r="G15" s="2">
        <x:v>1</x:v>
      </x:c>
      <x:c r="H15" s="2">
        <x:v>1</x:v>
      </x:c>
      <x:c r="I15" s="2">
        <x:v>1</x:v>
      </x:c>
      <x:c r="J15" s="2">
        <x:v>1</x:v>
      </x:c>
      <x:c r="K15" s="2">
        <x:v>1</x:v>
      </x:c>
      <x:c r="L15" s="2">
        <x:v>1</x:v>
      </x:c>
    </x:row>
    <x:row r="16">
      <x:c r="A16" s="4" t="s">
        <x:v>26</x:v>
      </x:c>
      <x:c r="B16" s="4" t="str">
        <x:f>IFERROR(
INDEX(
Facilities[Facility ID],
MATCH(Factors[[#This Row],[Facility]],
Facilities[Facility],0
)
),"")</x:f>
        <x:v>MF5357</x:v>
      </x:c>
      <x:c r="C16" s="4" t="s">
        <x:v>28</x:v>
      </x:c>
      <x:c r="D16" s="4" t="s">
        <x:v>18</x:v>
      </x:c>
      <x:c r="E16" s="5">
        <x:v>7</x:v>
      </x:c>
      <x:c r="F16" s="2">
        <x:v>1</x:v>
      </x:c>
      <x:c r="G16" s="2">
        <x:v>1</x:v>
      </x:c>
      <x:c r="H16" s="2">
        <x:v>1</x:v>
      </x:c>
      <x:c r="I16" s="2">
        <x:v>1</x:v>
      </x:c>
      <x:c r="J16" s="2">
        <x:v>1</x:v>
      </x:c>
      <x:c r="K16" s="2">
        <x:v>1</x:v>
      </x:c>
      <x:c r="L16" s="2">
        <x:v>1</x:v>
      </x:c>
    </x:row>
    <x:row r="17">
      <x:c r="A17" t="str">
        <x:v>Truelife</x:v>
      </x:c>
      <x:c r="B17" t="str">
        <x:v>MF7003</x:v>
      </x:c>
      <x:c r="C17" t="str">
        <x:v>Psychiatry</x:v>
      </x:c>
      <x:c r="D17" t="str">
        <x:v>Exact List</x:v>
      </x:c>
      <x:c r="E17" t="str">
        <x:v>90792</x:v>
      </x:c>
      <x:c r="F17" t="n">
        <x:v>1.3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655f2ccb0d14479b"/>
    <x:tablePart xmlns:r="http://schemas.openxmlformats.org/officeDocument/2006/relationships" r:id="Re5bba441dc9d44c7"/>
  </x:tableParts>
</x:worksheet>
</file>